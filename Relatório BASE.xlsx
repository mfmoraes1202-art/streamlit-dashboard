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Note\Desktop\"/>
    </mc:Choice>
  </mc:AlternateContent>
  <xr:revisionPtr revIDLastSave="0" documentId="8_{FC6590C7-B7B1-4BEB-8B75-C1B2BEB9ED0D}" xr6:coauthVersionLast="47" xr6:coauthVersionMax="47" xr10:uidLastSave="{00000000-0000-0000-0000-000000000000}"/>
  <bookViews>
    <workbookView xWindow="28680" yWindow="-120" windowWidth="38640" windowHeight="15720" activeTab="1" xr2:uid="{801599A5-F919-49DE-AD75-C4425CA59AE1}"/>
  </bookViews>
  <sheets>
    <sheet name="Planilha1" sheetId="1" r:id="rId1"/>
    <sheet name="Planilha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10" i="2" l="1"/>
  <c r="AG9" i="2"/>
  <c r="F5" i="2"/>
  <c r="F4" i="2"/>
  <c r="AG7" i="2"/>
  <c r="AG6" i="2"/>
  <c r="E5" i="2"/>
  <c r="E4" i="2"/>
  <c r="D5" i="2"/>
  <c r="D4" i="2"/>
  <c r="B5" i="2"/>
  <c r="B4" i="2"/>
  <c r="J12" i="1"/>
  <c r="J11" i="1"/>
  <c r="H12" i="1"/>
  <c r="H11" i="1"/>
  <c r="I12" i="1"/>
  <c r="I11" i="1"/>
  <c r="G12" i="1"/>
  <c r="G11" i="1"/>
  <c r="E5" i="1"/>
  <c r="E4" i="1"/>
</calcChain>
</file>

<file path=xl/sharedStrings.xml><?xml version="1.0" encoding="utf-8"?>
<sst xmlns="http://schemas.openxmlformats.org/spreadsheetml/2006/main" count="74" uniqueCount="21">
  <si>
    <t>Emprendimento</t>
  </si>
  <si>
    <t>Orçamento</t>
  </si>
  <si>
    <t>VGV</t>
  </si>
  <si>
    <t>Venda efetuadas</t>
  </si>
  <si>
    <t>Saldo Vendas</t>
  </si>
  <si>
    <t>SUNSET</t>
  </si>
  <si>
    <t>PHAROS</t>
  </si>
  <si>
    <t>Empreendimentos</t>
  </si>
  <si>
    <t>Período</t>
  </si>
  <si>
    <t>RECEITAS</t>
  </si>
  <si>
    <t>DESPESAS</t>
  </si>
  <si>
    <t>RESUMO</t>
  </si>
  <si>
    <t>RECEITA</t>
  </si>
  <si>
    <t>DESPESA</t>
  </si>
  <si>
    <t>% Vendas Efetuadas</t>
  </si>
  <si>
    <t>% Gasto do orçamento</t>
  </si>
  <si>
    <t>Saldo orçamentário</t>
  </si>
  <si>
    <t>Prazo final obra</t>
  </si>
  <si>
    <t>Saldo dos Valores Vendidos</t>
  </si>
  <si>
    <t>RECEITA PROJETADA</t>
  </si>
  <si>
    <t>DESPESA PROJETADA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</si>
</sst>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17" fontId="0" fillId="0" borderId="0" xfId="0" applyNumberFormat="1"/>
    <xf numFmtId="44" fontId="0" fillId="0" borderId="0" xfId="0" applyNumberFormat="1"/>
    <xf numFmtId="9" fontId="0" fillId="0" borderId="0" xfId="2" applyFont="1"/>
    <xf numFmtId="0" fontId="0" fillId="0" borderId="0" xfId="0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CC106-DA4F-45F8-B2F1-37D28BD55E69}">
  <dimension ref="A3:J54"/>
  <sheetViews>
    <sheetView topLeftCell="A25" workbookViewId="0">
      <selection activeCell="A3" sqref="A3:J54"/>
    </sheetView>
  </sheetViews>
  <sheetFormatPr defaultRowHeight="14.5" x14ac:dyDescent="0.35"/>
  <cols>
    <col min="1" max="1" width="16.90625" bestFit="1" customWidth="1"/>
    <col min="2" max="4" width="16.26953125" bestFit="1" customWidth="1"/>
    <col min="5" max="5" width="15.26953125" bestFit="1" customWidth="1"/>
    <col min="7" max="7" width="16.26953125" bestFit="1" customWidth="1"/>
    <col min="8" max="8" width="18.08984375" bestFit="1" customWidth="1"/>
    <col min="9" max="9" width="15.26953125" bestFit="1" customWidth="1"/>
    <col min="10" max="10" width="20" bestFit="1" customWidth="1"/>
  </cols>
  <sheetData>
    <row r="3" spans="1:10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10" x14ac:dyDescent="0.35">
      <c r="A4" t="s">
        <v>5</v>
      </c>
      <c r="B4" s="1">
        <v>25209649.050000001</v>
      </c>
      <c r="C4" s="1">
        <v>28091455.739999998</v>
      </c>
      <c r="D4" s="1">
        <v>22507979.370000001</v>
      </c>
      <c r="E4" s="1">
        <f>C4-D4</f>
        <v>5583476.3699999973</v>
      </c>
    </row>
    <row r="5" spans="1:10" x14ac:dyDescent="0.35">
      <c r="A5" t="s">
        <v>6</v>
      </c>
      <c r="B5" s="1">
        <v>22774122.539999999</v>
      </c>
      <c r="C5" s="1">
        <v>35108307.539999999</v>
      </c>
      <c r="D5" s="1">
        <v>25536380.32</v>
      </c>
      <c r="E5" s="1">
        <f>C5-D5</f>
        <v>9571927.2199999988</v>
      </c>
    </row>
    <row r="10" spans="1:10" x14ac:dyDescent="0.35">
      <c r="F10" t="s">
        <v>11</v>
      </c>
      <c r="G10" t="s">
        <v>12</v>
      </c>
      <c r="H10" t="s">
        <v>14</v>
      </c>
      <c r="I10" t="s">
        <v>13</v>
      </c>
      <c r="J10" t="s">
        <v>15</v>
      </c>
    </row>
    <row r="11" spans="1:10" x14ac:dyDescent="0.35">
      <c r="A11" t="s">
        <v>7</v>
      </c>
      <c r="B11" t="s">
        <v>8</v>
      </c>
      <c r="C11" t="s">
        <v>9</v>
      </c>
      <c r="D11" t="s">
        <v>10</v>
      </c>
      <c r="F11" t="s">
        <v>5</v>
      </c>
      <c r="G11" s="3">
        <f>SUM(C12:C34)</f>
        <v>10606740.920000002</v>
      </c>
      <c r="H11" s="4">
        <f>G11/D4</f>
        <v>0.47124358635841423</v>
      </c>
      <c r="I11" s="3">
        <f>SUM(D12:D34)</f>
        <v>7799619.7300000004</v>
      </c>
      <c r="J11" s="4">
        <f>I11/B4</f>
        <v>0.3093902542844007</v>
      </c>
    </row>
    <row r="12" spans="1:10" x14ac:dyDescent="0.35">
      <c r="A12" t="s">
        <v>5</v>
      </c>
      <c r="B12" s="2">
        <v>45261</v>
      </c>
      <c r="C12" s="1">
        <v>151140.77000000005</v>
      </c>
      <c r="D12" s="1">
        <v>0</v>
      </c>
      <c r="F12" t="s">
        <v>6</v>
      </c>
      <c r="G12" s="3">
        <f>SUM(C35:C54)</f>
        <v>6286653.5200000005</v>
      </c>
      <c r="H12" s="4">
        <f>G12/D5</f>
        <v>0.24618420626655205</v>
      </c>
      <c r="I12" s="3">
        <f>SUM(D35:D54)</f>
        <v>5119914.95</v>
      </c>
      <c r="J12" s="4">
        <f>I12/B5</f>
        <v>0.22481283048369866</v>
      </c>
    </row>
    <row r="13" spans="1:10" x14ac:dyDescent="0.35">
      <c r="A13" t="s">
        <v>5</v>
      </c>
      <c r="B13" s="2">
        <v>45292</v>
      </c>
      <c r="C13" s="1">
        <v>227253.57999999993</v>
      </c>
      <c r="D13" s="1">
        <v>15690.23</v>
      </c>
    </row>
    <row r="14" spans="1:10" x14ac:dyDescent="0.35">
      <c r="A14" t="s">
        <v>5</v>
      </c>
      <c r="B14" s="2">
        <v>45323</v>
      </c>
      <c r="C14" s="1">
        <v>212865.29999999996</v>
      </c>
      <c r="D14" s="1">
        <v>10000</v>
      </c>
    </row>
    <row r="15" spans="1:10" x14ac:dyDescent="0.35">
      <c r="A15" t="s">
        <v>5</v>
      </c>
      <c r="B15" s="2">
        <v>45352</v>
      </c>
      <c r="C15" s="1">
        <v>211083.77999999997</v>
      </c>
      <c r="D15" s="1">
        <v>3530</v>
      </c>
    </row>
    <row r="16" spans="1:10" x14ac:dyDescent="0.35">
      <c r="A16" t="s">
        <v>5</v>
      </c>
      <c r="B16" s="2">
        <v>45383</v>
      </c>
      <c r="C16" s="1">
        <v>218541.91999999998</v>
      </c>
      <c r="D16" s="1">
        <v>4332.2900000000009</v>
      </c>
    </row>
    <row r="17" spans="1:4" x14ac:dyDescent="0.35">
      <c r="A17" t="s">
        <v>5</v>
      </c>
      <c r="B17" s="2">
        <v>45413</v>
      </c>
      <c r="C17" s="1">
        <v>332451.75000000006</v>
      </c>
      <c r="D17" s="1">
        <v>17188.97</v>
      </c>
    </row>
    <row r="18" spans="1:4" x14ac:dyDescent="0.35">
      <c r="A18" t="s">
        <v>5</v>
      </c>
      <c r="B18" s="2">
        <v>45444</v>
      </c>
      <c r="C18" s="1">
        <v>746103.77999999968</v>
      </c>
      <c r="D18" s="1">
        <v>24201.679999999993</v>
      </c>
    </row>
    <row r="19" spans="1:4" x14ac:dyDescent="0.35">
      <c r="A19" t="s">
        <v>5</v>
      </c>
      <c r="B19" s="2">
        <v>45474</v>
      </c>
      <c r="C19" s="1">
        <v>407428.32999999978</v>
      </c>
      <c r="D19" s="1">
        <v>60305.97</v>
      </c>
    </row>
    <row r="20" spans="1:4" x14ac:dyDescent="0.35">
      <c r="A20" t="s">
        <v>5</v>
      </c>
      <c r="B20" s="2">
        <v>45505</v>
      </c>
      <c r="C20" s="1">
        <v>849977.69000000029</v>
      </c>
      <c r="D20" s="1">
        <v>384068.29999999993</v>
      </c>
    </row>
    <row r="21" spans="1:4" x14ac:dyDescent="0.35">
      <c r="A21" t="s">
        <v>5</v>
      </c>
      <c r="B21" s="2">
        <v>45536</v>
      </c>
      <c r="C21" s="1">
        <v>229129.49000000005</v>
      </c>
      <c r="D21" s="1">
        <v>120397.96</v>
      </c>
    </row>
    <row r="22" spans="1:4" x14ac:dyDescent="0.35">
      <c r="A22" t="s">
        <v>5</v>
      </c>
      <c r="B22" s="2">
        <v>45566</v>
      </c>
      <c r="C22" s="1">
        <v>323825.42</v>
      </c>
      <c r="D22" s="1">
        <v>118839.31</v>
      </c>
    </row>
    <row r="23" spans="1:4" x14ac:dyDescent="0.35">
      <c r="A23" t="s">
        <v>5</v>
      </c>
      <c r="B23" s="2">
        <v>45597</v>
      </c>
      <c r="C23" s="1">
        <v>286102.73000000004</v>
      </c>
      <c r="D23" s="1">
        <v>190074.18999999997</v>
      </c>
    </row>
    <row r="24" spans="1:4" x14ac:dyDescent="0.35">
      <c r="A24" t="s">
        <v>5</v>
      </c>
      <c r="B24" s="2">
        <v>45627</v>
      </c>
      <c r="C24" s="1">
        <v>738681.77</v>
      </c>
      <c r="D24" s="1">
        <v>157929.09000000003</v>
      </c>
    </row>
    <row r="25" spans="1:4" x14ac:dyDescent="0.35">
      <c r="A25" t="s">
        <v>5</v>
      </c>
      <c r="B25" s="2">
        <v>45658</v>
      </c>
      <c r="C25" s="1">
        <v>426398.28</v>
      </c>
      <c r="D25" s="1">
        <v>232239.48000000004</v>
      </c>
    </row>
    <row r="26" spans="1:4" x14ac:dyDescent="0.35">
      <c r="A26" t="s">
        <v>5</v>
      </c>
      <c r="B26" s="2">
        <v>45689</v>
      </c>
      <c r="C26" s="1">
        <v>363482.7300000001</v>
      </c>
      <c r="D26" s="1">
        <v>421762.79999999993</v>
      </c>
    </row>
    <row r="27" spans="1:4" x14ac:dyDescent="0.35">
      <c r="A27" t="s">
        <v>5</v>
      </c>
      <c r="B27" s="2">
        <v>45717</v>
      </c>
      <c r="C27" s="1">
        <v>464318.49999999988</v>
      </c>
      <c r="D27" s="1">
        <v>496941.73000000004</v>
      </c>
    </row>
    <row r="28" spans="1:4" x14ac:dyDescent="0.35">
      <c r="A28" t="s">
        <v>5</v>
      </c>
      <c r="B28" s="2">
        <v>45748</v>
      </c>
      <c r="C28" s="1">
        <v>423400.51000000007</v>
      </c>
      <c r="D28" s="1">
        <v>312753.31999999995</v>
      </c>
    </row>
    <row r="29" spans="1:4" x14ac:dyDescent="0.35">
      <c r="A29" t="s">
        <v>5</v>
      </c>
      <c r="B29" s="2">
        <v>45778</v>
      </c>
      <c r="C29" s="1">
        <v>544107.28</v>
      </c>
      <c r="D29" s="1">
        <v>1265778.9700000002</v>
      </c>
    </row>
    <row r="30" spans="1:4" x14ac:dyDescent="0.35">
      <c r="A30" t="s">
        <v>5</v>
      </c>
      <c r="B30" s="2">
        <v>45809</v>
      </c>
      <c r="C30" s="1">
        <v>1021597.5700000003</v>
      </c>
      <c r="D30" s="1">
        <v>419308.53999999986</v>
      </c>
    </row>
    <row r="31" spans="1:4" x14ac:dyDescent="0.35">
      <c r="A31" t="s">
        <v>5</v>
      </c>
      <c r="B31" s="2">
        <v>45839</v>
      </c>
      <c r="C31" s="1">
        <v>499866.46999999986</v>
      </c>
      <c r="D31" s="1">
        <v>1061499.8600000001</v>
      </c>
    </row>
    <row r="32" spans="1:4" x14ac:dyDescent="0.35">
      <c r="A32" t="s">
        <v>5</v>
      </c>
      <c r="B32" s="2">
        <v>45870</v>
      </c>
      <c r="C32" s="1">
        <v>1016773.4300000002</v>
      </c>
      <c r="D32" s="1">
        <v>1044661.3</v>
      </c>
    </row>
    <row r="33" spans="1:4" x14ac:dyDescent="0.35">
      <c r="A33" t="s">
        <v>5</v>
      </c>
      <c r="B33" s="2">
        <v>45901</v>
      </c>
      <c r="C33" s="1">
        <v>421647.67000000016</v>
      </c>
      <c r="D33" s="1">
        <v>566642.68000000005</v>
      </c>
    </row>
    <row r="34" spans="1:4" x14ac:dyDescent="0.35">
      <c r="A34" t="s">
        <v>5</v>
      </c>
      <c r="B34" s="2">
        <v>45931</v>
      </c>
      <c r="C34" s="1">
        <v>490562.16999999993</v>
      </c>
      <c r="D34" s="1">
        <v>871473.06</v>
      </c>
    </row>
    <row r="35" spans="1:4" x14ac:dyDescent="0.35">
      <c r="A35" t="s">
        <v>6</v>
      </c>
      <c r="B35" s="2">
        <v>45352</v>
      </c>
      <c r="C35" s="1">
        <v>576079.27</v>
      </c>
      <c r="D35" s="1">
        <v>53287.95</v>
      </c>
    </row>
    <row r="36" spans="1:4" x14ac:dyDescent="0.35">
      <c r="A36" t="s">
        <v>6</v>
      </c>
      <c r="B36" s="2">
        <v>45383</v>
      </c>
      <c r="C36" s="1">
        <v>432686.51999999996</v>
      </c>
      <c r="D36" s="1">
        <v>229117.06</v>
      </c>
    </row>
    <row r="37" spans="1:4" x14ac:dyDescent="0.35">
      <c r="A37" t="s">
        <v>6</v>
      </c>
      <c r="B37" s="2">
        <v>45413</v>
      </c>
      <c r="C37" s="1">
        <v>83148.119999999981</v>
      </c>
      <c r="D37" s="1">
        <v>109582.49</v>
      </c>
    </row>
    <row r="38" spans="1:4" x14ac:dyDescent="0.35">
      <c r="A38" t="s">
        <v>6</v>
      </c>
      <c r="B38" s="2">
        <v>45444</v>
      </c>
      <c r="C38" s="1">
        <v>201402.69</v>
      </c>
      <c r="D38" s="1">
        <v>215355.83</v>
      </c>
    </row>
    <row r="39" spans="1:4" x14ac:dyDescent="0.35">
      <c r="A39" t="s">
        <v>6</v>
      </c>
      <c r="B39" s="2">
        <v>45474</v>
      </c>
      <c r="C39" s="1">
        <v>291107.60999999993</v>
      </c>
      <c r="D39" s="1">
        <v>95083.87000000001</v>
      </c>
    </row>
    <row r="40" spans="1:4" x14ac:dyDescent="0.35">
      <c r="A40" t="s">
        <v>6</v>
      </c>
      <c r="B40" s="2">
        <v>45505</v>
      </c>
      <c r="C40" s="1">
        <v>76830.06</v>
      </c>
      <c r="D40" s="1">
        <v>140015.87</v>
      </c>
    </row>
    <row r="41" spans="1:4" x14ac:dyDescent="0.35">
      <c r="A41" t="s">
        <v>6</v>
      </c>
      <c r="B41" s="2">
        <v>45536</v>
      </c>
      <c r="C41" s="1">
        <v>49920.790000000015</v>
      </c>
      <c r="D41" s="1">
        <v>116233.31000000001</v>
      </c>
    </row>
    <row r="42" spans="1:4" x14ac:dyDescent="0.35">
      <c r="A42" t="s">
        <v>6</v>
      </c>
      <c r="B42" s="2">
        <v>45566</v>
      </c>
      <c r="C42" s="1">
        <v>691420.91000000015</v>
      </c>
      <c r="D42" s="1">
        <v>173715.85</v>
      </c>
    </row>
    <row r="43" spans="1:4" x14ac:dyDescent="0.35">
      <c r="A43" t="s">
        <v>6</v>
      </c>
      <c r="B43" s="2">
        <v>45597</v>
      </c>
      <c r="C43" s="1">
        <v>152599.94999999998</v>
      </c>
      <c r="D43" s="1">
        <v>141423.90000000002</v>
      </c>
    </row>
    <row r="44" spans="1:4" x14ac:dyDescent="0.35">
      <c r="A44" t="s">
        <v>6</v>
      </c>
      <c r="B44" s="2">
        <v>45627</v>
      </c>
      <c r="C44" s="1">
        <v>202879.41999999993</v>
      </c>
      <c r="D44" s="1">
        <v>221902.99000000002</v>
      </c>
    </row>
    <row r="45" spans="1:4" x14ac:dyDescent="0.35">
      <c r="A45" t="s">
        <v>6</v>
      </c>
      <c r="B45" s="2">
        <v>45658</v>
      </c>
      <c r="C45" s="1">
        <v>128371.31000000001</v>
      </c>
      <c r="D45" s="1">
        <v>114536.56999999999</v>
      </c>
    </row>
    <row r="46" spans="1:4" x14ac:dyDescent="0.35">
      <c r="A46" t="s">
        <v>6</v>
      </c>
      <c r="B46" s="2">
        <v>45689</v>
      </c>
      <c r="C46" s="1">
        <v>121723.72</v>
      </c>
      <c r="D46" s="1">
        <v>191099.09</v>
      </c>
    </row>
    <row r="47" spans="1:4" x14ac:dyDescent="0.35">
      <c r="A47" t="s">
        <v>6</v>
      </c>
      <c r="B47" s="2">
        <v>45717</v>
      </c>
      <c r="C47" s="1">
        <v>240390.73999999996</v>
      </c>
      <c r="D47" s="1">
        <v>231369.70000000004</v>
      </c>
    </row>
    <row r="48" spans="1:4" x14ac:dyDescent="0.35">
      <c r="A48" t="s">
        <v>6</v>
      </c>
      <c r="B48" s="2">
        <v>45748</v>
      </c>
      <c r="C48" s="1">
        <v>322406.06000000017</v>
      </c>
      <c r="D48" s="1">
        <v>421743.71</v>
      </c>
    </row>
    <row r="49" spans="1:4" x14ac:dyDescent="0.35">
      <c r="A49" t="s">
        <v>6</v>
      </c>
      <c r="B49" s="2">
        <v>45778</v>
      </c>
      <c r="C49" s="1">
        <v>510434.12000000011</v>
      </c>
      <c r="D49" s="1">
        <v>590673.80999999994</v>
      </c>
    </row>
    <row r="50" spans="1:4" x14ac:dyDescent="0.35">
      <c r="A50" t="s">
        <v>6</v>
      </c>
      <c r="B50" s="2">
        <v>45809</v>
      </c>
      <c r="C50" s="1">
        <v>404508.91999999987</v>
      </c>
      <c r="D50" s="1">
        <v>295406.02000000008</v>
      </c>
    </row>
    <row r="51" spans="1:4" x14ac:dyDescent="0.35">
      <c r="A51" t="s">
        <v>6</v>
      </c>
      <c r="B51" s="2">
        <v>45839</v>
      </c>
      <c r="C51" s="1">
        <v>484467.41000000003</v>
      </c>
      <c r="D51" s="1">
        <v>585322.61</v>
      </c>
    </row>
    <row r="52" spans="1:4" x14ac:dyDescent="0.35">
      <c r="A52" t="s">
        <v>6</v>
      </c>
      <c r="B52" s="2">
        <v>45870</v>
      </c>
      <c r="C52" s="1">
        <v>613953.07000000007</v>
      </c>
      <c r="D52" s="1">
        <v>453497.84000000008</v>
      </c>
    </row>
    <row r="53" spans="1:4" x14ac:dyDescent="0.35">
      <c r="A53" t="s">
        <v>6</v>
      </c>
      <c r="B53" s="2">
        <v>45901</v>
      </c>
      <c r="C53" s="1">
        <v>323949.28999999992</v>
      </c>
      <c r="D53" s="1">
        <v>342175.86</v>
      </c>
    </row>
    <row r="54" spans="1:4" x14ac:dyDescent="0.35">
      <c r="A54" t="s">
        <v>6</v>
      </c>
      <c r="B54" s="2">
        <v>45931</v>
      </c>
      <c r="C54" s="1">
        <v>378373.54000000044</v>
      </c>
      <c r="D54" s="1">
        <v>398370.62</v>
      </c>
    </row>
  </sheetData>
  <pageMargins left="0.511811024" right="0.511811024" top="0.78740157499999996" bottom="0.78740157499999996" header="0.31496062000000002" footer="0.31496062000000002"/>
  <ignoredErrors>
    <ignoredError sqref="I11:I12 G11:G1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F89CB-206B-4F05-8AE3-58DE647B705F}">
  <dimension ref="A2:AG17"/>
  <sheetViews>
    <sheetView tabSelected="1" topLeftCell="E1" workbookViewId="0">
      <selection activeCell="A2" sqref="A2:AB17"/>
    </sheetView>
  </sheetViews>
  <sheetFormatPr defaultRowHeight="14.5" x14ac:dyDescent="0.35"/>
  <cols>
    <col min="1" max="1" width="14.81640625" bestFit="1" customWidth="1"/>
    <col min="2" max="2" width="18.81640625" bestFit="1" customWidth="1"/>
    <col min="3" max="3" width="14.1796875" bestFit="1" customWidth="1"/>
    <col min="4" max="4" width="16.6328125" customWidth="1"/>
    <col min="5" max="6" width="15.26953125" bestFit="1" customWidth="1"/>
    <col min="7" max="28" width="13.7265625" bestFit="1" customWidth="1"/>
    <col min="33" max="33" width="13.7265625" bestFit="1" customWidth="1"/>
  </cols>
  <sheetData>
    <row r="2" spans="1:33" x14ac:dyDescent="0.35">
      <c r="C2" s="5" t="s">
        <v>17</v>
      </c>
      <c r="D2" s="5" t="s">
        <v>18</v>
      </c>
      <c r="E2" s="5" t="s">
        <v>4</v>
      </c>
    </row>
    <row r="3" spans="1:33" x14ac:dyDescent="0.35">
      <c r="A3" t="s">
        <v>0</v>
      </c>
      <c r="B3" t="s">
        <v>16</v>
      </c>
      <c r="C3" s="5"/>
      <c r="D3" s="5"/>
      <c r="E3" s="5"/>
    </row>
    <row r="4" spans="1:33" x14ac:dyDescent="0.35">
      <c r="A4" t="s">
        <v>5</v>
      </c>
      <c r="B4" s="1">
        <f>Planilha1!B4-Planilha1!I11</f>
        <v>17410029.32</v>
      </c>
      <c r="C4" s="2">
        <v>46722</v>
      </c>
      <c r="D4" s="1">
        <f>Planilha1!D4-Planilha1!G11</f>
        <v>11901238.449999999</v>
      </c>
      <c r="E4" s="1">
        <f>Planilha1!E4</f>
        <v>5583476.3699999973</v>
      </c>
      <c r="F4" s="3">
        <f>D4-B4</f>
        <v>-5508790.870000001</v>
      </c>
    </row>
    <row r="5" spans="1:33" x14ac:dyDescent="0.35">
      <c r="A5" t="s">
        <v>6</v>
      </c>
      <c r="B5" s="1">
        <f>Planilha1!B5-Planilha1!I12</f>
        <v>17654207.59</v>
      </c>
      <c r="C5" s="2">
        <v>46722</v>
      </c>
      <c r="D5" s="1">
        <f>Planilha1!D5-Planilha1!G12</f>
        <v>19249726.800000001</v>
      </c>
      <c r="E5" s="1">
        <f>Planilha1!E5</f>
        <v>9571927.2199999988</v>
      </c>
      <c r="F5" s="3">
        <f>D5-B5</f>
        <v>1595519.2100000009</v>
      </c>
    </row>
    <row r="6" spans="1:33" x14ac:dyDescent="0.35">
      <c r="AG6" s="3">
        <f>B4/26</f>
        <v>669616.51230769232</v>
      </c>
    </row>
    <row r="7" spans="1:33" x14ac:dyDescent="0.35">
      <c r="C7" s="2">
        <v>45962</v>
      </c>
      <c r="D7" s="2">
        <v>45992</v>
      </c>
      <c r="E7" s="2">
        <v>46023</v>
      </c>
      <c r="F7" s="2">
        <v>46054</v>
      </c>
      <c r="G7" s="2">
        <v>46082</v>
      </c>
      <c r="H7" s="2">
        <v>46113</v>
      </c>
      <c r="I7" s="2">
        <v>46143</v>
      </c>
      <c r="J7" s="2">
        <v>46174</v>
      </c>
      <c r="K7" s="2">
        <v>46204</v>
      </c>
      <c r="L7" s="2">
        <v>46235</v>
      </c>
      <c r="M7" s="2">
        <v>46266</v>
      </c>
      <c r="N7" s="2">
        <v>46296</v>
      </c>
      <c r="O7" s="2">
        <v>46327</v>
      </c>
      <c r="P7" s="2">
        <v>46357</v>
      </c>
      <c r="Q7" s="2">
        <v>46388</v>
      </c>
      <c r="R7" s="2">
        <v>46419</v>
      </c>
      <c r="S7" s="2">
        <v>46447</v>
      </c>
      <c r="T7" s="2">
        <v>46478</v>
      </c>
      <c r="U7" s="2">
        <v>46508</v>
      </c>
      <c r="V7" s="2">
        <v>46539</v>
      </c>
      <c r="W7" s="2">
        <v>46569</v>
      </c>
      <c r="X7" s="2">
        <v>46600</v>
      </c>
      <c r="Y7" s="2">
        <v>46631</v>
      </c>
      <c r="Z7" s="2">
        <v>46661</v>
      </c>
      <c r="AA7" s="2">
        <v>46692</v>
      </c>
      <c r="AB7" s="2">
        <v>46722</v>
      </c>
      <c r="AG7" s="3">
        <f>D4/26</f>
        <v>457739.94038461533</v>
      </c>
    </row>
    <row r="8" spans="1:33" x14ac:dyDescent="0.35">
      <c r="A8" t="s">
        <v>5</v>
      </c>
      <c r="B8" t="s">
        <v>19</v>
      </c>
      <c r="C8" s="1">
        <v>457739.94038461533</v>
      </c>
      <c r="D8" s="1">
        <v>457739.94038461533</v>
      </c>
      <c r="E8" s="1">
        <v>457739.94038461533</v>
      </c>
      <c r="F8" s="1">
        <v>457739.94038461533</v>
      </c>
      <c r="G8" s="1">
        <v>457739.94038461533</v>
      </c>
      <c r="H8" s="1">
        <v>457739.94038461533</v>
      </c>
      <c r="I8" s="1">
        <v>457739.94038461533</v>
      </c>
      <c r="J8" s="1">
        <v>457739.94038461533</v>
      </c>
      <c r="K8" s="1">
        <v>457739.94038461533</v>
      </c>
      <c r="L8" s="1">
        <v>457739.94038461533</v>
      </c>
      <c r="M8" s="1">
        <v>457739.94038461533</v>
      </c>
      <c r="N8" s="1">
        <v>457739.94038461533</v>
      </c>
      <c r="O8" s="1">
        <v>457739.94038461533</v>
      </c>
      <c r="P8" s="1">
        <v>457739.94038461533</v>
      </c>
      <c r="Q8" s="1">
        <v>457739.94038461533</v>
      </c>
      <c r="R8" s="1">
        <v>457739.94038461533</v>
      </c>
      <c r="S8" s="1">
        <v>457739.94038461533</v>
      </c>
      <c r="T8" s="1">
        <v>457739.94038461533</v>
      </c>
      <c r="U8" s="1">
        <v>457739.94038461533</v>
      </c>
      <c r="V8" s="1">
        <v>457739.94038461533</v>
      </c>
      <c r="W8" s="1">
        <v>457739.94038461533</v>
      </c>
      <c r="X8" s="1">
        <v>457739.94038461533</v>
      </c>
      <c r="Y8" s="1">
        <v>457739.94038461533</v>
      </c>
      <c r="Z8" s="1">
        <v>457739.94038461533</v>
      </c>
      <c r="AA8" s="1">
        <v>457739.94038461533</v>
      </c>
      <c r="AB8" s="1">
        <v>457739.94038461533</v>
      </c>
    </row>
    <row r="9" spans="1:33" x14ac:dyDescent="0.35">
      <c r="B9" t="s">
        <v>20</v>
      </c>
      <c r="C9" s="1">
        <v>669616.51230769232</v>
      </c>
      <c r="D9" s="1">
        <v>669616.51230769232</v>
      </c>
      <c r="E9" s="1">
        <v>669616.51230769232</v>
      </c>
      <c r="F9" s="1">
        <v>669616.51230769232</v>
      </c>
      <c r="G9" s="1">
        <v>669616.51230769232</v>
      </c>
      <c r="H9" s="1">
        <v>669616.51230769232</v>
      </c>
      <c r="I9" s="1">
        <v>669616.51230769232</v>
      </c>
      <c r="J9" s="1">
        <v>669616.51230769232</v>
      </c>
      <c r="K9" s="1">
        <v>669616.51230769232</v>
      </c>
      <c r="L9" s="1">
        <v>669616.51230769232</v>
      </c>
      <c r="M9" s="1">
        <v>669616.51230769232</v>
      </c>
      <c r="N9" s="1">
        <v>669616.51230769232</v>
      </c>
      <c r="O9" s="1">
        <v>669616.51230769232</v>
      </c>
      <c r="P9" s="1">
        <v>669616.51230769232</v>
      </c>
      <c r="Q9" s="1">
        <v>669616.51230769232</v>
      </c>
      <c r="R9" s="1">
        <v>669616.51230769232</v>
      </c>
      <c r="S9" s="1">
        <v>669616.51230769232</v>
      </c>
      <c r="T9" s="1">
        <v>669616.51230769232</v>
      </c>
      <c r="U9" s="1">
        <v>669616.51230769232</v>
      </c>
      <c r="V9" s="1">
        <v>669616.51230769232</v>
      </c>
      <c r="W9" s="1">
        <v>669616.51230769232</v>
      </c>
      <c r="X9" s="1">
        <v>669616.51230769232</v>
      </c>
      <c r="Y9" s="1">
        <v>669616.51230769232</v>
      </c>
      <c r="Z9" s="1">
        <v>669616.51230769232</v>
      </c>
      <c r="AA9" s="1">
        <v>669616.51230769232</v>
      </c>
      <c r="AB9" s="1">
        <v>669616.51230769232</v>
      </c>
      <c r="AG9" s="3">
        <f>B5/26</f>
        <v>679007.98423076922</v>
      </c>
    </row>
    <row r="10" spans="1:33" x14ac:dyDescent="0.35">
      <c r="AG10" s="3">
        <f>D5/26</f>
        <v>740374.10769230768</v>
      </c>
    </row>
    <row r="15" spans="1:33" x14ac:dyDescent="0.35">
      <c r="C15" s="2">
        <v>45962</v>
      </c>
      <c r="D15" s="2">
        <v>45992</v>
      </c>
      <c r="E15" s="2">
        <v>46023</v>
      </c>
      <c r="F15" s="2">
        <v>46054</v>
      </c>
      <c r="G15" s="2">
        <v>46082</v>
      </c>
      <c r="H15" s="2">
        <v>46113</v>
      </c>
      <c r="I15" s="2">
        <v>46143</v>
      </c>
      <c r="J15" s="2">
        <v>46174</v>
      </c>
      <c r="K15" s="2">
        <v>46204</v>
      </c>
      <c r="L15" s="2">
        <v>46235</v>
      </c>
      <c r="M15" s="2">
        <v>46266</v>
      </c>
      <c r="N15" s="2">
        <v>46296</v>
      </c>
      <c r="O15" s="2">
        <v>46327</v>
      </c>
      <c r="P15" s="2">
        <v>46357</v>
      </c>
      <c r="Q15" s="2">
        <v>46388</v>
      </c>
      <c r="R15" s="2">
        <v>46419</v>
      </c>
      <c r="S15" s="2">
        <v>46447</v>
      </c>
      <c r="T15" s="2">
        <v>46478</v>
      </c>
      <c r="U15" s="2">
        <v>46508</v>
      </c>
      <c r="V15" s="2">
        <v>46539</v>
      </c>
      <c r="W15" s="2">
        <v>46569</v>
      </c>
      <c r="X15" s="2">
        <v>46600</v>
      </c>
      <c r="Y15" s="2">
        <v>46631</v>
      </c>
      <c r="Z15" s="2">
        <v>46661</v>
      </c>
      <c r="AA15" s="2">
        <v>46692</v>
      </c>
      <c r="AB15" s="2">
        <v>46722</v>
      </c>
    </row>
    <row r="16" spans="1:33" x14ac:dyDescent="0.35">
      <c r="A16" t="s">
        <v>6</v>
      </c>
      <c r="B16" t="s">
        <v>19</v>
      </c>
      <c r="C16" s="1">
        <v>740374.10769230768</v>
      </c>
      <c r="D16" s="1">
        <v>740374.10769230768</v>
      </c>
      <c r="E16" s="1">
        <v>740374.10769230768</v>
      </c>
      <c r="F16" s="1">
        <v>740374.10769230768</v>
      </c>
      <c r="G16" s="1">
        <v>740374.10769230768</v>
      </c>
      <c r="H16" s="1">
        <v>740374.10769230768</v>
      </c>
      <c r="I16" s="1">
        <v>740374.10769230768</v>
      </c>
      <c r="J16" s="1">
        <v>740374.10769230768</v>
      </c>
      <c r="K16" s="1">
        <v>740374.10769230768</v>
      </c>
      <c r="L16" s="1">
        <v>740374.10769230768</v>
      </c>
      <c r="M16" s="1">
        <v>740374.10769230768</v>
      </c>
      <c r="N16" s="1">
        <v>740374.10769230768</v>
      </c>
      <c r="O16" s="1">
        <v>740374.10769230768</v>
      </c>
      <c r="P16" s="1">
        <v>740374.10769230768</v>
      </c>
      <c r="Q16" s="1">
        <v>740374.10769230768</v>
      </c>
      <c r="R16" s="1">
        <v>740374.10769230768</v>
      </c>
      <c r="S16" s="1">
        <v>740374.10769230768</v>
      </c>
      <c r="T16" s="1">
        <v>740374.10769230768</v>
      </c>
      <c r="U16" s="1">
        <v>740374.10769230768</v>
      </c>
      <c r="V16" s="1">
        <v>740374.10769230768</v>
      </c>
      <c r="W16" s="1">
        <v>740374.10769230768</v>
      </c>
      <c r="X16" s="1">
        <v>740374.10769230768</v>
      </c>
      <c r="Y16" s="1">
        <v>740374.10769230768</v>
      </c>
      <c r="Z16" s="1">
        <v>740374.10769230768</v>
      </c>
      <c r="AA16" s="1">
        <v>740374.10769230768</v>
      </c>
      <c r="AB16" s="1">
        <v>740374.10769230768</v>
      </c>
    </row>
    <row r="17" spans="2:28" x14ac:dyDescent="0.35">
      <c r="B17" t="s">
        <v>20</v>
      </c>
      <c r="C17" s="1">
        <v>679007.98423076922</v>
      </c>
      <c r="D17" s="1">
        <v>679007.98423076922</v>
      </c>
      <c r="E17" s="1">
        <v>679007.98423076922</v>
      </c>
      <c r="F17" s="1">
        <v>679007.98423076922</v>
      </c>
      <c r="G17" s="1">
        <v>679007.98423076922</v>
      </c>
      <c r="H17" s="1">
        <v>679007.98423076922</v>
      </c>
      <c r="I17" s="1">
        <v>679007.98423076922</v>
      </c>
      <c r="J17" s="1">
        <v>679007.98423076922</v>
      </c>
      <c r="K17" s="1">
        <v>679007.98423076922</v>
      </c>
      <c r="L17" s="1">
        <v>679007.98423076922</v>
      </c>
      <c r="M17" s="1">
        <v>679007.98423076922</v>
      </c>
      <c r="N17" s="1">
        <v>679007.98423076922</v>
      </c>
      <c r="O17" s="1">
        <v>679007.98423076922</v>
      </c>
      <c r="P17" s="1">
        <v>679007.98423076922</v>
      </c>
      <c r="Q17" s="1">
        <v>679007.98423076922</v>
      </c>
      <c r="R17" s="1">
        <v>679007.98423076922</v>
      </c>
      <c r="S17" s="1">
        <v>679007.98423076922</v>
      </c>
      <c r="T17" s="1">
        <v>679007.98423076922</v>
      </c>
      <c r="U17" s="1">
        <v>679007.98423076922</v>
      </c>
      <c r="V17" s="1">
        <v>679007.98423076922</v>
      </c>
      <c r="W17" s="1">
        <v>679007.98423076922</v>
      </c>
      <c r="X17" s="1">
        <v>679007.98423076922</v>
      </c>
      <c r="Y17" s="1">
        <v>679007.98423076922</v>
      </c>
      <c r="Z17" s="1">
        <v>679007.98423076922</v>
      </c>
      <c r="AA17" s="1">
        <v>679007.98423076922</v>
      </c>
      <c r="AB17" s="1">
        <v>679007.98423076922</v>
      </c>
    </row>
  </sheetData>
  <mergeCells count="3">
    <mergeCell ref="D2:D3"/>
    <mergeCell ref="C2:C3"/>
    <mergeCell ref="E2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AiNote</dc:creator>
  <cp:lastModifiedBy>AiNote</cp:lastModifiedBy>
  <dcterms:created xsi:type="dcterms:W3CDTF">2025-12-03T15:10:22Z</dcterms:created>
  <dcterms:modified xsi:type="dcterms:W3CDTF">2025-12-03T17:40:14Z</dcterms:modified>
</cp:coreProperties>
</file>